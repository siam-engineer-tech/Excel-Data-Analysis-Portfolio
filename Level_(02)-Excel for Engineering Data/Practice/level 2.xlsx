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Excel practice\"/>
    </mc:Choice>
  </mc:AlternateContent>
  <xr:revisionPtr revIDLastSave="0" documentId="13_ncr:1_{2A995D04-3DC1-42E0-8137-B0FDD6D1ADD7}" xr6:coauthVersionLast="47" xr6:coauthVersionMax="47" xr10:uidLastSave="{00000000-0000-0000-0000-000000000000}"/>
  <bookViews>
    <workbookView xWindow="0" yWindow="0" windowWidth="20490" windowHeight="10905" xr2:uid="{00000000-000D-0000-FFFF-FFFF00000000}"/>
  </bookViews>
  <sheets>
    <sheet name="level 2" sheetId="1" r:id="rId1"/>
  </sheets>
  <calcPr calcId="191029"/>
  <pivotCaches>
    <pivotCache cacheId="11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1" i="1" l="1"/>
  <c r="X10" i="1"/>
  <c r="X9" i="1"/>
  <c r="M4" i="1"/>
</calcChain>
</file>

<file path=xl/sharedStrings.xml><?xml version="1.0" encoding="utf-8"?>
<sst xmlns="http://schemas.openxmlformats.org/spreadsheetml/2006/main" count="182" uniqueCount="59">
  <si>
    <t>Machine ID</t>
  </si>
  <si>
    <t>Machine</t>
  </si>
  <si>
    <t>Department</t>
  </si>
  <si>
    <t>Date</t>
  </si>
  <si>
    <t>Running Hours</t>
  </si>
  <si>
    <t>Downtime</t>
  </si>
  <si>
    <t>Production</t>
  </si>
  <si>
    <t>Maintenance Cost</t>
  </si>
  <si>
    <t>Efficiency %</t>
  </si>
  <si>
    <t>Maintenance Type</t>
  </si>
  <si>
    <t>Status</t>
  </si>
  <si>
    <t>For Vlookup and Xlookup:</t>
  </si>
  <si>
    <t>Machine Name</t>
  </si>
  <si>
    <t>Power (kW)</t>
  </si>
  <si>
    <t>Rated RPM</t>
  </si>
  <si>
    <t>Location</t>
  </si>
  <si>
    <t>Part D —For  ROUND functions:</t>
  </si>
  <si>
    <t>Efficiency (%)</t>
  </si>
  <si>
    <t>M-101</t>
  </si>
  <si>
    <t>CNC Lathe</t>
  </si>
  <si>
    <t>Mechanical</t>
  </si>
  <si>
    <t>Completed</t>
  </si>
  <si>
    <t>Plant A</t>
  </si>
  <si>
    <t>M-102</t>
  </si>
  <si>
    <t>CNC Milling</t>
  </si>
  <si>
    <t>Electrical</t>
  </si>
  <si>
    <t>M-103</t>
  </si>
  <si>
    <t>Hydraulic Press</t>
  </si>
  <si>
    <r>
      <t>Q28.</t>
    </r>
    <r>
      <rPr>
        <sz val="12"/>
        <color theme="1"/>
        <rFont val="Times New Roman"/>
        <family val="1"/>
      </rPr>
      <t xml:space="preserve"> Use </t>
    </r>
    <r>
      <rPr>
        <sz val="10"/>
        <color theme="1"/>
        <rFont val="Courier New"/>
        <family val="3"/>
      </rPr>
      <t>LEFT</t>
    </r>
    <r>
      <rPr>
        <sz val="12"/>
        <color theme="1"/>
        <rFont val="Times New Roman"/>
        <family val="1"/>
      </rPr>
      <t xml:space="preserve">, </t>
    </r>
    <r>
      <rPr>
        <sz val="10"/>
        <color theme="1"/>
        <rFont val="Courier New"/>
        <family val="3"/>
      </rPr>
      <t>RIGHT</t>
    </r>
    <r>
      <rPr>
        <sz val="12"/>
        <color theme="1"/>
        <rFont val="Times New Roman"/>
        <family val="1"/>
      </rPr>
      <t xml:space="preserve">, or </t>
    </r>
    <r>
      <rPr>
        <sz val="10"/>
        <color theme="1"/>
        <rFont val="Courier New"/>
        <family val="3"/>
      </rPr>
      <t>MID</t>
    </r>
    <r>
      <rPr>
        <sz val="12"/>
        <color theme="1"/>
        <rFont val="Times New Roman"/>
        <family val="1"/>
      </rPr>
      <t xml:space="preserve"> to practice extracting parts of Machine ID.</t>
    </r>
  </si>
  <si>
    <t>Plant B</t>
  </si>
  <si>
    <t>M-104</t>
  </si>
  <si>
    <t>Injection Molder</t>
  </si>
  <si>
    <t>Pending</t>
  </si>
  <si>
    <t>M-105</t>
  </si>
  <si>
    <t>Compressor</t>
  </si>
  <si>
    <t>Utility</t>
  </si>
  <si>
    <t>Air Compressor</t>
  </si>
  <si>
    <t>M-106</t>
  </si>
  <si>
    <t>Conveyor Motor</t>
  </si>
  <si>
    <t>Plant C</t>
  </si>
  <si>
    <t>M-107</t>
  </si>
  <si>
    <t>Cooling Pump</t>
  </si>
  <si>
    <r>
      <t>Q18.</t>
    </r>
    <r>
      <rPr>
        <sz val="12"/>
        <color theme="1"/>
        <rFont val="Times New Roman"/>
        <family val="1"/>
      </rPr>
      <t xml:space="preserve"> Take Efficiency and practice:</t>
    </r>
  </si>
  <si>
    <t>M-108</t>
  </si>
  <si>
    <t>Grinding Machine</t>
  </si>
  <si>
    <r>
      <t>·</t>
    </r>
    <r>
      <rPr>
        <sz val="7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ROUND</t>
    </r>
  </si>
  <si>
    <t>M-109</t>
  </si>
  <si>
    <t>Transformer</t>
  </si>
  <si>
    <t>Substation</t>
  </si>
  <si>
    <r>
      <t>·</t>
    </r>
    <r>
      <rPr>
        <sz val="7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ROUNDUP</t>
    </r>
  </si>
  <si>
    <t>M-110</t>
  </si>
  <si>
    <t>Welding Machine</t>
  </si>
  <si>
    <t>Maintenance</t>
  </si>
  <si>
    <t>Workshop</t>
  </si>
  <si>
    <r>
      <t>·</t>
    </r>
    <r>
      <rPr>
        <sz val="7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ROUNDDOWN</t>
    </r>
  </si>
  <si>
    <t>Compare the results.</t>
  </si>
  <si>
    <t>Row Labels</t>
  </si>
  <si>
    <t>Grand Total</t>
  </si>
  <si>
    <t>Sum of Maintenance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</si>
</sst>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3.5"/>
      <color theme="1"/>
      <name val="SimSun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</font>
    <font>
      <sz val="11"/>
      <color theme="1"/>
      <name val="Calibri"/>
      <family val="2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ogle" refreshedDate="46285.485005902781" createdVersion="8" refreshedVersion="8" minRefreshableVersion="3" recordCount="5" xr:uid="{2C7BF00E-6F6A-4C91-9173-E2E365EDDA3F}">
  <cacheSource type="worksheet">
    <worksheetSource ref="W1:AB6" sheet="level 2"/>
  </cacheSource>
  <cacheFields count="6">
    <cacheField name="Part D —For  ROUND functions:" numFmtId="0">
      <sharedItems containsNonDate="0" containsString="0" containsBlank="1"/>
    </cacheField>
    <cacheField name="Machine ID" numFmtId="0">
      <sharedItems count="5">
        <s v="M-101"/>
        <s v="M-102"/>
        <s v="M-103"/>
        <s v="M-104"/>
        <s v="M-105"/>
      </sharedItems>
    </cacheField>
    <cacheField name="Date" numFmtId="15">
      <sharedItems containsSemiMixedTypes="0" containsNonDate="0" containsDate="1" containsString="0" minDate="2026-01-02T00:00:00" maxDate="2026-03-07T00:00:00"/>
    </cacheField>
    <cacheField name="Efficiency (%)" numFmtId="0">
      <sharedItems containsSemiMixedTypes="0" containsString="0" containsNumber="1" minValue="88.239000000000004" maxValue="94.677999999999997"/>
    </cacheField>
    <cacheField name="Maintenance Cost" numFmtId="0">
      <sharedItems containsSemiMixedTypes="0" containsString="0" containsNumber="1" containsInteger="1" minValue="15000" maxValue="25000"/>
    </cacheField>
    <cacheField name="Production" numFmtId="0">
      <sharedItems containsSemiMixedTypes="0" containsString="0" containsNumber="1" containsInteger="1" minValue="1200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m/>
    <x v="0"/>
    <d v="2026-01-02T00:00:00"/>
    <n v="92.456000000000003"/>
    <n v="15000"/>
    <n v="1200"/>
  </r>
  <r>
    <m/>
    <x v="1"/>
    <d v="2026-01-03T00:00:00"/>
    <n v="90.784000000000006"/>
    <n v="18000"/>
    <n v="1500"/>
  </r>
  <r>
    <m/>
    <x v="2"/>
    <d v="2026-02-04T00:00:00"/>
    <n v="88.239000000000004"/>
    <n v="22000"/>
    <n v="1700"/>
  </r>
  <r>
    <m/>
    <x v="3"/>
    <d v="2026-02-05T00:00:00"/>
    <n v="94.677999999999997"/>
    <n v="25000"/>
    <n v="2000"/>
  </r>
  <r>
    <m/>
    <x v="4"/>
    <d v="2026-03-06T00:00:00"/>
    <n v="91.566999999999993"/>
    <n v="16000"/>
    <n v="1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14875-3CE2-418E-8F92-2DE67B9F9C07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3:AE9" firstHeaderRow="1" firstDataRow="1" firstDataCol="1"/>
  <pivotFields count="6">
    <pivotField showAll="0"/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5" showAll="0"/>
    <pivotField showAll="0"/>
    <pivotField dataField="1" showAll="0"/>
    <pivotField showAll="0"/>
  </pivotFields>
  <rowFields count="1">
    <field x="1"/>
  </rowFields>
  <rowItems count="6">
    <i>
      <x v="3"/>
    </i>
    <i>
      <x v="2"/>
    </i>
    <i>
      <x v="1"/>
    </i>
    <i>
      <x v="4"/>
    </i>
    <i>
      <x/>
    </i>
    <i t="grand">
      <x/>
    </i>
  </rowItems>
  <colItems count="1">
    <i/>
  </colItems>
  <dataFields count="1">
    <dataField name="Sum of Maintenance Cost" fld="4" baseField="0" baseItem="0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"/>
  <sheetViews>
    <sheetView tabSelected="1" topLeftCell="Y1" workbookViewId="0">
      <selection activeCell="AG5" sqref="AG5"/>
    </sheetView>
  </sheetViews>
  <sheetFormatPr defaultColWidth="10.28515625" defaultRowHeight="15"/>
  <cols>
    <col min="1" max="11" width="12.7109375" customWidth="1"/>
    <col min="12" max="12" width="65.42578125" customWidth="1"/>
    <col min="13" max="13" width="31.85546875" customWidth="1"/>
    <col min="16" max="21" width="12.7109375" customWidth="1"/>
    <col min="23" max="23" width="59.5703125" customWidth="1"/>
    <col min="24" max="28" width="12.7109375" customWidth="1"/>
    <col min="30" max="30" width="13.140625" bestFit="1" customWidth="1"/>
    <col min="31" max="31" width="24" bestFit="1" customWidth="1"/>
    <col min="32" max="32" width="19.85546875" bestFit="1" customWidth="1"/>
  </cols>
  <sheetData>
    <row r="1" spans="1:3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11</v>
      </c>
      <c r="P1" s="1" t="s">
        <v>0</v>
      </c>
      <c r="Q1" s="1" t="s">
        <v>12</v>
      </c>
      <c r="R1" s="1" t="s">
        <v>2</v>
      </c>
      <c r="S1" s="3" t="s">
        <v>13</v>
      </c>
      <c r="T1" s="3" t="s">
        <v>14</v>
      </c>
      <c r="U1" s="1" t="s">
        <v>15</v>
      </c>
      <c r="W1" s="4" t="s">
        <v>16</v>
      </c>
      <c r="X1" s="1" t="s">
        <v>0</v>
      </c>
      <c r="Y1" s="1" t="s">
        <v>3</v>
      </c>
      <c r="Z1" s="1" t="s">
        <v>17</v>
      </c>
      <c r="AA1" s="1" t="s">
        <v>7</v>
      </c>
      <c r="AB1" s="1" t="s">
        <v>6</v>
      </c>
    </row>
    <row r="2" spans="1:31">
      <c r="A2" s="5" t="s">
        <v>18</v>
      </c>
      <c r="B2" s="5" t="s">
        <v>19</v>
      </c>
      <c r="C2" s="5" t="s">
        <v>6</v>
      </c>
      <c r="D2" s="6">
        <v>46027</v>
      </c>
      <c r="E2" s="5">
        <v>8</v>
      </c>
      <c r="F2" s="5">
        <v>0.8</v>
      </c>
      <c r="G2" s="5">
        <v>420</v>
      </c>
      <c r="H2" s="5">
        <v>1250</v>
      </c>
      <c r="I2" s="5">
        <v>91.5</v>
      </c>
      <c r="J2" s="5" t="s">
        <v>20</v>
      </c>
      <c r="K2" s="5" t="s">
        <v>21</v>
      </c>
      <c r="P2" s="5" t="s">
        <v>18</v>
      </c>
      <c r="Q2" s="5" t="s">
        <v>19</v>
      </c>
      <c r="R2" s="5" t="s">
        <v>6</v>
      </c>
      <c r="S2" s="7">
        <v>15</v>
      </c>
      <c r="T2" s="7">
        <v>3000</v>
      </c>
      <c r="U2" s="5" t="s">
        <v>22</v>
      </c>
      <c r="X2" s="5" t="s">
        <v>18</v>
      </c>
      <c r="Y2" s="6">
        <v>46024</v>
      </c>
      <c r="Z2" s="5">
        <v>92.456000000000003</v>
      </c>
      <c r="AA2" s="5">
        <v>15000</v>
      </c>
      <c r="AB2" s="5">
        <v>1200</v>
      </c>
    </row>
    <row r="3" spans="1:31">
      <c r="A3" s="5" t="s">
        <v>23</v>
      </c>
      <c r="B3" s="5" t="s">
        <v>24</v>
      </c>
      <c r="C3" s="5" t="s">
        <v>6</v>
      </c>
      <c r="D3" s="6">
        <v>46027</v>
      </c>
      <c r="E3" s="5">
        <v>8</v>
      </c>
      <c r="F3" s="5">
        <v>1.2</v>
      </c>
      <c r="G3" s="5">
        <v>390</v>
      </c>
      <c r="H3" s="5">
        <v>1480</v>
      </c>
      <c r="I3" s="5">
        <v>85</v>
      </c>
      <c r="J3" s="5" t="s">
        <v>25</v>
      </c>
      <c r="K3" s="5" t="s">
        <v>21</v>
      </c>
      <c r="P3" s="5" t="s">
        <v>23</v>
      </c>
      <c r="Q3" s="5" t="s">
        <v>24</v>
      </c>
      <c r="R3" s="5" t="s">
        <v>6</v>
      </c>
      <c r="S3" s="7">
        <v>22</v>
      </c>
      <c r="T3" s="7">
        <v>2500</v>
      </c>
      <c r="U3" s="5" t="s">
        <v>22</v>
      </c>
      <c r="X3" s="5" t="s">
        <v>23</v>
      </c>
      <c r="Y3" s="6">
        <v>46025</v>
      </c>
      <c r="Z3" s="5">
        <v>90.784000000000006</v>
      </c>
      <c r="AA3" s="5">
        <v>18000</v>
      </c>
      <c r="AB3" s="5">
        <v>1500</v>
      </c>
      <c r="AD3" s="11" t="s">
        <v>56</v>
      </c>
      <c r="AE3" t="s">
        <v>58</v>
      </c>
    </row>
    <row r="4" spans="1:31" ht="30">
      <c r="A4" s="5" t="s">
        <v>26</v>
      </c>
      <c r="B4" s="5" t="s">
        <v>27</v>
      </c>
      <c r="C4" s="5" t="s">
        <v>6</v>
      </c>
      <c r="D4" s="6">
        <v>46027</v>
      </c>
      <c r="E4" s="5">
        <v>7.5</v>
      </c>
      <c r="F4" s="5">
        <v>0.5</v>
      </c>
      <c r="G4" s="5">
        <v>510</v>
      </c>
      <c r="H4" s="5">
        <v>980</v>
      </c>
      <c r="I4" s="5">
        <v>93.3</v>
      </c>
      <c r="J4" s="5" t="s">
        <v>20</v>
      </c>
      <c r="K4" s="5" t="s">
        <v>21</v>
      </c>
      <c r="L4" s="8" t="s">
        <v>28</v>
      </c>
      <c r="M4" s="9" t="str">
        <f>MID(A4,1,3)</f>
        <v>M-1</v>
      </c>
      <c r="P4" s="5" t="s">
        <v>26</v>
      </c>
      <c r="Q4" s="5"/>
      <c r="R4" s="5" t="s">
        <v>20</v>
      </c>
      <c r="S4" s="7">
        <v>30</v>
      </c>
      <c r="T4" s="7">
        <v>1500</v>
      </c>
      <c r="U4" s="5" t="s">
        <v>29</v>
      </c>
      <c r="W4" s="8"/>
      <c r="X4" s="5" t="s">
        <v>26</v>
      </c>
      <c r="Y4" s="6">
        <v>46057</v>
      </c>
      <c r="Z4" s="5">
        <v>88.239000000000004</v>
      </c>
      <c r="AA4" s="5">
        <v>22000</v>
      </c>
      <c r="AB4" s="5">
        <v>1700</v>
      </c>
      <c r="AD4" s="12" t="s">
        <v>30</v>
      </c>
      <c r="AE4" s="13">
        <v>25000</v>
      </c>
    </row>
    <row r="5" spans="1:31" ht="30">
      <c r="A5" s="5" t="s">
        <v>30</v>
      </c>
      <c r="B5" s="5" t="s">
        <v>31</v>
      </c>
      <c r="C5" s="5" t="s">
        <v>6</v>
      </c>
      <c r="D5" s="6">
        <v>46027</v>
      </c>
      <c r="E5" s="5">
        <v>8</v>
      </c>
      <c r="F5" s="5">
        <v>1.8</v>
      </c>
      <c r="G5" s="5">
        <v>350</v>
      </c>
      <c r="H5" s="5">
        <v>1720</v>
      </c>
      <c r="I5" s="5">
        <v>77.5</v>
      </c>
      <c r="J5" s="5" t="s">
        <v>25</v>
      </c>
      <c r="K5" s="5" t="s">
        <v>32</v>
      </c>
      <c r="L5" s="10"/>
      <c r="M5" s="9"/>
      <c r="P5" s="5" t="s">
        <v>30</v>
      </c>
      <c r="Q5" s="5" t="s">
        <v>31</v>
      </c>
      <c r="R5" s="5" t="s">
        <v>6</v>
      </c>
      <c r="S5" s="7">
        <v>45</v>
      </c>
      <c r="T5" s="7">
        <v>1800</v>
      </c>
      <c r="U5" s="5" t="s">
        <v>29</v>
      </c>
      <c r="X5" s="5" t="s">
        <v>30</v>
      </c>
      <c r="Y5" s="6">
        <v>46058</v>
      </c>
      <c r="Z5" s="5">
        <v>94.677999999999997</v>
      </c>
      <c r="AA5" s="5">
        <v>25000</v>
      </c>
      <c r="AB5" s="5">
        <v>2000</v>
      </c>
      <c r="AD5" s="12" t="s">
        <v>26</v>
      </c>
      <c r="AE5" s="13">
        <v>22000</v>
      </c>
    </row>
    <row r="6" spans="1:31" ht="30">
      <c r="A6" s="5" t="s">
        <v>33</v>
      </c>
      <c r="B6" s="5" t="s">
        <v>34</v>
      </c>
      <c r="C6" s="5" t="s">
        <v>35</v>
      </c>
      <c r="D6" s="6">
        <v>46027</v>
      </c>
      <c r="E6" s="5">
        <v>8</v>
      </c>
      <c r="F6" s="5">
        <v>0.6</v>
      </c>
      <c r="G6" s="5">
        <v>0</v>
      </c>
      <c r="H6" s="5">
        <v>620</v>
      </c>
      <c r="I6" s="5">
        <v>92.5</v>
      </c>
      <c r="J6" s="5" t="s">
        <v>20</v>
      </c>
      <c r="K6" s="5" t="s">
        <v>21</v>
      </c>
      <c r="L6" s="10"/>
      <c r="M6" s="9"/>
      <c r="P6" s="5" t="s">
        <v>33</v>
      </c>
      <c r="Q6" s="5" t="s">
        <v>36</v>
      </c>
      <c r="R6" s="5" t="s">
        <v>35</v>
      </c>
      <c r="S6" s="7">
        <v>37</v>
      </c>
      <c r="T6" s="7">
        <v>1450</v>
      </c>
      <c r="U6" s="5" t="s">
        <v>22</v>
      </c>
      <c r="X6" s="5" t="s">
        <v>33</v>
      </c>
      <c r="Y6" s="6">
        <v>46087</v>
      </c>
      <c r="Z6" s="5">
        <v>91.566999999999993</v>
      </c>
      <c r="AA6" s="5">
        <v>16000</v>
      </c>
      <c r="AB6" s="5">
        <v>1400</v>
      </c>
      <c r="AD6" s="12" t="s">
        <v>23</v>
      </c>
      <c r="AE6" s="13">
        <v>18000</v>
      </c>
    </row>
    <row r="7" spans="1:31" ht="30">
      <c r="A7" s="5" t="s">
        <v>18</v>
      </c>
      <c r="B7" s="5" t="s">
        <v>19</v>
      </c>
      <c r="C7" s="5" t="s">
        <v>6</v>
      </c>
      <c r="D7" s="6">
        <v>44567</v>
      </c>
      <c r="E7" s="5">
        <v>8</v>
      </c>
      <c r="F7" s="5">
        <v>0.4</v>
      </c>
      <c r="G7" s="5">
        <v>455</v>
      </c>
      <c r="H7" s="5">
        <v>800</v>
      </c>
      <c r="I7" s="5">
        <v>95</v>
      </c>
      <c r="J7" s="5" t="s">
        <v>20</v>
      </c>
      <c r="K7" s="5" t="s">
        <v>21</v>
      </c>
      <c r="L7" s="10"/>
      <c r="P7" s="5" t="s">
        <v>37</v>
      </c>
      <c r="Q7" s="5" t="s">
        <v>38</v>
      </c>
      <c r="R7" s="5" t="s">
        <v>6</v>
      </c>
      <c r="S7" s="7">
        <v>11</v>
      </c>
      <c r="T7" s="7">
        <v>1450</v>
      </c>
      <c r="U7" s="5" t="s">
        <v>39</v>
      </c>
      <c r="AD7" s="12" t="s">
        <v>33</v>
      </c>
      <c r="AE7" s="13">
        <v>16000</v>
      </c>
    </row>
    <row r="8" spans="1:31" ht="30">
      <c r="A8" s="5" t="s">
        <v>23</v>
      </c>
      <c r="B8" s="5" t="s">
        <v>24</v>
      </c>
      <c r="C8" s="5" t="s">
        <v>6</v>
      </c>
      <c r="D8" s="6">
        <v>46028</v>
      </c>
      <c r="E8" s="5">
        <v>8</v>
      </c>
      <c r="F8" s="5">
        <v>0.9</v>
      </c>
      <c r="G8" s="5">
        <v>415</v>
      </c>
      <c r="H8" s="5">
        <v>1100</v>
      </c>
      <c r="I8" s="5">
        <v>88.8</v>
      </c>
      <c r="J8" s="5" t="s">
        <v>25</v>
      </c>
      <c r="K8" s="5" t="s">
        <v>21</v>
      </c>
      <c r="P8" s="5" t="s">
        <v>40</v>
      </c>
      <c r="Q8" s="5" t="s">
        <v>41</v>
      </c>
      <c r="R8" s="5" t="s">
        <v>35</v>
      </c>
      <c r="S8" s="7">
        <v>18.5</v>
      </c>
      <c r="T8" s="7">
        <v>2900</v>
      </c>
      <c r="U8" s="5" t="s">
        <v>39</v>
      </c>
      <c r="W8" s="8" t="s">
        <v>42</v>
      </c>
      <c r="AD8" s="12" t="s">
        <v>18</v>
      </c>
      <c r="AE8" s="13">
        <v>15000</v>
      </c>
    </row>
    <row r="9" spans="1:31" ht="30">
      <c r="A9" s="5" t="s">
        <v>26</v>
      </c>
      <c r="B9" s="5" t="s">
        <v>27</v>
      </c>
      <c r="C9" s="5" t="s">
        <v>6</v>
      </c>
      <c r="D9" s="6">
        <v>46028</v>
      </c>
      <c r="E9" s="5">
        <v>7.5</v>
      </c>
      <c r="F9" s="5">
        <v>1</v>
      </c>
      <c r="G9" s="5">
        <v>475</v>
      </c>
      <c r="H9" s="5">
        <v>1350</v>
      </c>
      <c r="I9" s="5">
        <v>86.7</v>
      </c>
      <c r="J9" s="5" t="s">
        <v>20</v>
      </c>
      <c r="K9" s="5" t="s">
        <v>21</v>
      </c>
      <c r="P9" s="5" t="s">
        <v>43</v>
      </c>
      <c r="Q9" s="5" t="s">
        <v>44</v>
      </c>
      <c r="R9" s="5" t="s">
        <v>20</v>
      </c>
      <c r="S9" s="7">
        <v>25</v>
      </c>
      <c r="T9" s="7">
        <v>2800</v>
      </c>
      <c r="U9" s="5" t="s">
        <v>29</v>
      </c>
      <c r="W9" s="10" t="s">
        <v>45</v>
      </c>
      <c r="X9">
        <f>ROUND(Z4,0)</f>
        <v>88</v>
      </c>
      <c r="AD9" s="12" t="s">
        <v>57</v>
      </c>
      <c r="AE9" s="13">
        <v>96000</v>
      </c>
    </row>
    <row r="10" spans="1:31" ht="30">
      <c r="A10" s="5" t="s">
        <v>30</v>
      </c>
      <c r="B10" s="5" t="s">
        <v>31</v>
      </c>
      <c r="C10" s="5" t="s">
        <v>6</v>
      </c>
      <c r="D10" s="6">
        <v>46028</v>
      </c>
      <c r="E10" s="5">
        <v>8</v>
      </c>
      <c r="F10" s="5">
        <v>1</v>
      </c>
      <c r="G10" s="5">
        <v>405</v>
      </c>
      <c r="H10" s="5">
        <v>900</v>
      </c>
      <c r="I10" s="5">
        <v>87.5</v>
      </c>
      <c r="J10" s="5" t="s">
        <v>25</v>
      </c>
      <c r="K10" s="5" t="s">
        <v>21</v>
      </c>
      <c r="P10" s="5" t="s">
        <v>46</v>
      </c>
      <c r="Q10" s="5" t="s">
        <v>47</v>
      </c>
      <c r="R10" s="5" t="s">
        <v>25</v>
      </c>
      <c r="S10" s="7">
        <v>100</v>
      </c>
      <c r="T10" s="7">
        <v>1500</v>
      </c>
      <c r="U10" s="5" t="s">
        <v>48</v>
      </c>
      <c r="W10" s="10" t="s">
        <v>49</v>
      </c>
      <c r="X10">
        <f>ROUNDUP(Z4,0)</f>
        <v>89</v>
      </c>
    </row>
    <row r="11" spans="1:31" ht="30">
      <c r="A11" s="5" t="s">
        <v>33</v>
      </c>
      <c r="B11" s="5" t="s">
        <v>34</v>
      </c>
      <c r="C11" s="5" t="s">
        <v>35</v>
      </c>
      <c r="D11" s="6">
        <v>46028</v>
      </c>
      <c r="E11" s="5">
        <v>8</v>
      </c>
      <c r="F11" s="5">
        <v>1.4</v>
      </c>
      <c r="G11" s="5">
        <v>0</v>
      </c>
      <c r="H11" s="5">
        <v>1450</v>
      </c>
      <c r="I11" s="5">
        <v>82.5</v>
      </c>
      <c r="J11" s="5" t="s">
        <v>20</v>
      </c>
      <c r="K11" s="5" t="s">
        <v>32</v>
      </c>
      <c r="P11" s="5" t="s">
        <v>50</v>
      </c>
      <c r="Q11" s="5" t="s">
        <v>51</v>
      </c>
      <c r="R11" s="5" t="s">
        <v>52</v>
      </c>
      <c r="S11" s="7">
        <v>12</v>
      </c>
      <c r="T11" s="7">
        <v>3000</v>
      </c>
      <c r="U11" s="5" t="s">
        <v>53</v>
      </c>
      <c r="W11" s="10" t="s">
        <v>54</v>
      </c>
      <c r="X11">
        <f>ROUNDDOWN(Z4,0)</f>
        <v>88</v>
      </c>
    </row>
    <row r="12" spans="1:31" ht="15.75">
      <c r="A12" s="5" t="s">
        <v>18</v>
      </c>
      <c r="B12" s="5" t="s">
        <v>19</v>
      </c>
      <c r="C12" s="5" t="s">
        <v>6</v>
      </c>
      <c r="D12" s="6">
        <v>46055</v>
      </c>
      <c r="E12" s="5">
        <v>8</v>
      </c>
      <c r="F12" s="5">
        <v>1.1000000000000001</v>
      </c>
      <c r="G12" s="5">
        <v>400</v>
      </c>
      <c r="H12" s="5">
        <v>1320</v>
      </c>
      <c r="I12" s="5">
        <v>86.3</v>
      </c>
      <c r="J12" s="5" t="s">
        <v>20</v>
      </c>
      <c r="K12" s="5" t="s">
        <v>21</v>
      </c>
      <c r="W12" s="9" t="s">
        <v>55</v>
      </c>
    </row>
    <row r="13" spans="1:31">
      <c r="A13" s="5" t="s">
        <v>23</v>
      </c>
      <c r="B13" s="5" t="s">
        <v>24</v>
      </c>
      <c r="C13" s="5" t="s">
        <v>6</v>
      </c>
      <c r="D13" s="6">
        <v>46055</v>
      </c>
      <c r="E13" s="5">
        <v>8</v>
      </c>
      <c r="F13" s="5">
        <v>0.7</v>
      </c>
      <c r="G13" s="5">
        <v>430</v>
      </c>
      <c r="H13" s="5">
        <v>760</v>
      </c>
      <c r="I13" s="5">
        <v>91.3</v>
      </c>
      <c r="J13" s="5" t="s">
        <v>25</v>
      </c>
      <c r="K13" s="5" t="s">
        <v>21</v>
      </c>
    </row>
    <row r="14" spans="1:31" ht="30">
      <c r="A14" s="5" t="s">
        <v>26</v>
      </c>
      <c r="B14" s="5" t="s">
        <v>27</v>
      </c>
      <c r="C14" s="5" t="s">
        <v>6</v>
      </c>
      <c r="D14" s="6">
        <v>46055</v>
      </c>
      <c r="E14" s="5">
        <v>7.5</v>
      </c>
      <c r="F14" s="5">
        <v>0.8</v>
      </c>
      <c r="G14" s="5">
        <v>495</v>
      </c>
      <c r="H14" s="5">
        <v>1020</v>
      </c>
      <c r="I14" s="5">
        <v>89.3</v>
      </c>
      <c r="J14" s="5" t="s">
        <v>20</v>
      </c>
      <c r="K14" s="5" t="s">
        <v>21</v>
      </c>
    </row>
    <row r="15" spans="1:31" ht="30">
      <c r="A15" s="5" t="s">
        <v>30</v>
      </c>
      <c r="B15" s="5" t="s">
        <v>31</v>
      </c>
      <c r="C15" s="5" t="s">
        <v>6</v>
      </c>
      <c r="D15" s="6">
        <v>46055</v>
      </c>
      <c r="E15" s="5">
        <v>8</v>
      </c>
      <c r="F15" s="5">
        <v>2</v>
      </c>
      <c r="G15" s="5">
        <v>330</v>
      </c>
      <c r="H15" s="5">
        <v>1850</v>
      </c>
      <c r="I15" s="5">
        <v>75</v>
      </c>
      <c r="J15" s="5" t="s">
        <v>25</v>
      </c>
      <c r="K15" s="5" t="s">
        <v>32</v>
      </c>
    </row>
    <row r="16" spans="1:31">
      <c r="A16" s="5" t="s">
        <v>33</v>
      </c>
      <c r="B16" s="5" t="s">
        <v>34</v>
      </c>
      <c r="C16" s="5" t="s">
        <v>35</v>
      </c>
      <c r="D16" s="6">
        <v>46056</v>
      </c>
      <c r="E16" s="5">
        <v>0.5</v>
      </c>
      <c r="F16" s="5">
        <v>0</v>
      </c>
      <c r="G16" s="5">
        <v>550</v>
      </c>
      <c r="H16" s="5">
        <v>93.8</v>
      </c>
      <c r="I16">
        <v>84</v>
      </c>
      <c r="J16" s="5" t="s">
        <v>20</v>
      </c>
      <c r="K16" s="5" t="s">
        <v>21</v>
      </c>
    </row>
    <row r="17" spans="1:11">
      <c r="A17" s="5" t="s">
        <v>18</v>
      </c>
      <c r="B17" s="5" t="s">
        <v>19</v>
      </c>
      <c r="C17" s="5" t="s">
        <v>6</v>
      </c>
      <c r="D17" s="6">
        <v>46057</v>
      </c>
      <c r="E17" s="5">
        <v>8</v>
      </c>
      <c r="F17" s="5">
        <v>0.6</v>
      </c>
      <c r="G17" s="5">
        <v>440</v>
      </c>
      <c r="H17" s="5">
        <v>910</v>
      </c>
      <c r="I17" s="5">
        <v>92.5</v>
      </c>
      <c r="J17" s="5" t="s">
        <v>20</v>
      </c>
      <c r="K17" s="5" t="s">
        <v>21</v>
      </c>
    </row>
    <row r="18" spans="1:11">
      <c r="A18" s="5" t="s">
        <v>23</v>
      </c>
      <c r="B18" s="5" t="s">
        <v>24</v>
      </c>
      <c r="C18" s="5" t="s">
        <v>6</v>
      </c>
      <c r="D18" s="6">
        <v>46058</v>
      </c>
      <c r="E18" s="5">
        <v>8</v>
      </c>
      <c r="F18" s="5">
        <v>1.3</v>
      </c>
      <c r="G18" s="5">
        <v>385</v>
      </c>
      <c r="H18" s="5">
        <v>1580</v>
      </c>
      <c r="I18" s="5">
        <v>83.8</v>
      </c>
      <c r="J18" s="5" t="s">
        <v>25</v>
      </c>
      <c r="K18" s="5" t="s">
        <v>32</v>
      </c>
    </row>
    <row r="19" spans="1:11" ht="30">
      <c r="A19" s="5" t="s">
        <v>26</v>
      </c>
      <c r="B19" s="5" t="s">
        <v>27</v>
      </c>
      <c r="C19" s="5" t="s">
        <v>6</v>
      </c>
      <c r="D19" s="6">
        <v>46059</v>
      </c>
      <c r="E19" s="5">
        <v>7.5</v>
      </c>
      <c r="F19" s="5">
        <v>0.4</v>
      </c>
      <c r="G19" s="5">
        <v>520</v>
      </c>
      <c r="H19" s="5">
        <v>720</v>
      </c>
      <c r="I19" s="5">
        <v>94.7</v>
      </c>
      <c r="J19" s="5" t="s">
        <v>20</v>
      </c>
      <c r="K19" s="5" t="s">
        <v>21</v>
      </c>
    </row>
    <row r="20" spans="1:11" ht="30">
      <c r="A20" s="5" t="s">
        <v>30</v>
      </c>
      <c r="B20" s="5" t="s">
        <v>31</v>
      </c>
      <c r="C20" s="5" t="s">
        <v>6</v>
      </c>
      <c r="D20" s="6">
        <v>46060</v>
      </c>
      <c r="E20" s="5">
        <v>8</v>
      </c>
      <c r="F20" s="5">
        <v>1.5</v>
      </c>
      <c r="G20" s="5">
        <v>370</v>
      </c>
      <c r="H20" s="5">
        <v>1210</v>
      </c>
      <c r="I20" s="5">
        <v>81.3</v>
      </c>
      <c r="J20" s="5" t="s">
        <v>25</v>
      </c>
      <c r="K20" s="5" t="s">
        <v>21</v>
      </c>
    </row>
    <row r="21" spans="1:11">
      <c r="A21" s="5" t="s">
        <v>33</v>
      </c>
      <c r="B21" s="5" t="s">
        <v>34</v>
      </c>
      <c r="C21" s="5" t="s">
        <v>35</v>
      </c>
      <c r="D21" s="6">
        <v>46056</v>
      </c>
      <c r="E21" s="5">
        <v>8</v>
      </c>
      <c r="F21" s="5">
        <v>0.9</v>
      </c>
      <c r="G21" s="5">
        <v>0</v>
      </c>
      <c r="H21" s="5">
        <v>830</v>
      </c>
      <c r="I21" s="5">
        <v>88.8</v>
      </c>
      <c r="J21" s="5" t="s">
        <v>20</v>
      </c>
      <c r="K21" s="5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Shahibul Hasan Siam</cp:lastModifiedBy>
  <dcterms:created xsi:type="dcterms:W3CDTF">2026-09-15T03:33:00Z</dcterms:created>
  <dcterms:modified xsi:type="dcterms:W3CDTF">2026-09-20T05:52:13Z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05A45948B1F44A00BA18536FABA06548_13</vt:lpwstr>
  </property>
</Properties>
</file>