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00" windowHeight="7500"/>
  </bookViews>
  <sheets>
    <sheet name="Machine_Data" sheetId="1" r:id="rId1"/>
    <sheet name="Final_Report" sheetId="2" r:id="rId2"/>
  </sheets>
  <definedNames>
    <definedName name="_xlnm._FilterDatabase" localSheetId="0" hidden="1">Machine_Data!$A$1:$M$11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<sst xmlns="http://schemas.openxmlformats.org/spreadsheetml/2006/main" count="112" uniqueCount="67">
  <si>
    <t>Machine ID</t>
  </si>
  <si>
    <t>Machine Name</t>
  </si>
  <si>
    <t>Department</t>
  </si>
  <si>
    <t>Power (kW)</t>
  </si>
  <si>
    <t>Rated RPM</t>
  </si>
  <si>
    <t>Location</t>
  </si>
  <si>
    <t>Date</t>
  </si>
  <si>
    <t>Status</t>
  </si>
  <si>
    <t>Efficiency (%)</t>
  </si>
  <si>
    <t>Running Hours</t>
  </si>
  <si>
    <t>Downtime (hour)</t>
  </si>
  <si>
    <t>Production</t>
  </si>
  <si>
    <t>Maintenance Cost</t>
  </si>
  <si>
    <t>M-101</t>
  </si>
  <si>
    <t>CNC Lathe</t>
  </si>
  <si>
    <t>Plant A</t>
  </si>
  <si>
    <t>2026-01-05</t>
  </si>
  <si>
    <t>Running</t>
  </si>
  <si>
    <t>M-102</t>
  </si>
  <si>
    <t>CNC Milling</t>
  </si>
  <si>
    <t>2026-01-15</t>
  </si>
  <si>
    <t>Pending</t>
  </si>
  <si>
    <t>M-103</t>
  </si>
  <si>
    <t>Hydraulic Press</t>
  </si>
  <si>
    <t>Mechanical</t>
  </si>
  <si>
    <t>Plant B</t>
  </si>
  <si>
    <t>2026-01-20</t>
  </si>
  <si>
    <t>M-104</t>
  </si>
  <si>
    <t>Injection Molder</t>
  </si>
  <si>
    <t>2026-02-05</t>
  </si>
  <si>
    <t>M-105</t>
  </si>
  <si>
    <t>Air Compressor</t>
  </si>
  <si>
    <t>Utility</t>
  </si>
  <si>
    <t>2026-02-12</t>
  </si>
  <si>
    <t>M-106</t>
  </si>
  <si>
    <t>Conveyor Motor</t>
  </si>
  <si>
    <t>Plant C</t>
  </si>
  <si>
    <t>2026-02-18</t>
  </si>
  <si>
    <t>M-107</t>
  </si>
  <si>
    <t>Cooling Pump</t>
  </si>
  <si>
    <t>2026-01-25</t>
  </si>
  <si>
    <t>M-108</t>
  </si>
  <si>
    <t>Grinding Machine</t>
  </si>
  <si>
    <t>2026-02-22</t>
  </si>
  <si>
    <t>M-109</t>
  </si>
  <si>
    <t>Transformer</t>
  </si>
  <si>
    <t>Electrical</t>
  </si>
  <si>
    <t>Substation</t>
  </si>
  <si>
    <t>2026-01-30</t>
  </si>
  <si>
    <t>M-110</t>
  </si>
  <si>
    <t>Welding Machine</t>
  </si>
  <si>
    <t>Maintenance</t>
  </si>
  <si>
    <t>Workshop</t>
  </si>
  <si>
    <t>2026-02-28</t>
  </si>
  <si>
    <t>Machine Performance Report</t>
  </si>
  <si>
    <t>KPI</t>
  </si>
  <si>
    <t>Value</t>
  </si>
  <si>
    <t>Total Production</t>
  </si>
  <si>
    <t>Average Efficiency</t>
  </si>
  <si>
    <t>Total Downtime</t>
  </si>
  <si>
    <t>Total Maintenance Cost</t>
  </si>
  <si>
    <t>Pending Maintenance Records</t>
  </si>
  <si>
    <t>Best Machine</t>
  </si>
  <si>
    <t>TOP PERFORMING MACHINES</t>
  </si>
  <si>
    <t>Rule: Efficiency &gt;=90% AND Downtime &lt;=1 hour</t>
  </si>
  <si>
    <t>MACHINES NEEDING ATTENTION(Efficiency &lt; 85% OR Status = Pending)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</si>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</sst>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20"/>
      <color theme="1"/>
      <name val="Calibri"/>
      <charset val="134"/>
      <scheme val="minor"/>
    </font>
    <font>
      <b/>
      <u/>
      <sz val="20"/>
      <name val="Calibri"/>
      <charset val="134"/>
    </font>
    <font>
      <b/>
      <sz val="14"/>
      <color theme="1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1" fillId="2" borderId="0" xfId="0" applyFont="1" applyFill="1"/>
    <xf numFmtId="0" fontId="0" fillId="0" borderId="0" xfId="0" applyAlignment="1">
      <alignment horizontal="centerContinuous"/>
    </xf>
    <xf numFmtId="0" fontId="3" fillId="0" borderId="0" xfId="0" applyFont="1" applyFill="1" applyAlignment="1">
      <alignment horizontal="center" wrapText="1"/>
    </xf>
    <xf numFmtId="0" fontId="0" fillId="0" borderId="0" xfId="0" applyAlignment="1"/>
    <xf numFmtId="0" fontId="4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right" wrapText="1"/>
    </xf>
    <xf numFmtId="0" fontId="5" fillId="0" borderId="0" xfId="0" applyFont="1" applyFill="1" applyAlignment="1">
      <alignment horizontal="center" wrapText="1"/>
    </xf>
    <xf numFmtId="0" fontId="6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zoomScale="85" zoomScaleNormal="85" workbookViewId="0">
      <pane ySplit="1" topLeftCell="A2" activePane="bottomLeft" state="frozen"/>
      <selection/>
      <selection pane="bottomLeft" activeCell="I20" sqref="I20"/>
    </sheetView>
  </sheetViews>
  <sheetFormatPr defaultColWidth="9" defaultRowHeight="15"/>
  <cols>
    <col min="1" max="1" width="13" customWidth="1"/>
    <col min="2" max="6" width="26.7142857142857" customWidth="1"/>
    <col min="7" max="7" width="13" customWidth="1"/>
    <col min="8" max="8" width="10" customWidth="1"/>
    <col min="9" max="9" width="17" customWidth="1"/>
    <col min="10" max="10" width="16" customWidth="1"/>
    <col min="11" max="11" width="18" customWidth="1"/>
    <col min="12" max="12" width="13" customWidth="1"/>
    <col min="13" max="13" width="19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t="s">
        <v>13</v>
      </c>
      <c r="B2" t="s">
        <v>14</v>
      </c>
      <c r="C2" t="s">
        <v>11</v>
      </c>
      <c r="D2">
        <v>15</v>
      </c>
      <c r="E2">
        <v>3000</v>
      </c>
      <c r="F2" t="s">
        <v>15</v>
      </c>
      <c r="G2" t="s">
        <v>16</v>
      </c>
      <c r="H2" t="s">
        <v>17</v>
      </c>
      <c r="I2">
        <v>92</v>
      </c>
      <c r="J2">
        <v>10</v>
      </c>
      <c r="K2">
        <v>0.5</v>
      </c>
      <c r="L2">
        <v>1200</v>
      </c>
      <c r="M2">
        <v>15000</v>
      </c>
    </row>
    <row r="3" spans="1:13">
      <c r="A3" t="s">
        <v>18</v>
      </c>
      <c r="B3" t="s">
        <v>19</v>
      </c>
      <c r="C3" t="s">
        <v>11</v>
      </c>
      <c r="D3">
        <v>22</v>
      </c>
      <c r="E3">
        <v>2500</v>
      </c>
      <c r="F3" t="s">
        <v>15</v>
      </c>
      <c r="G3" t="s">
        <v>20</v>
      </c>
      <c r="H3" t="s">
        <v>21</v>
      </c>
      <c r="I3">
        <v>82</v>
      </c>
      <c r="J3">
        <v>12</v>
      </c>
      <c r="K3">
        <v>2</v>
      </c>
      <c r="L3">
        <v>1500</v>
      </c>
      <c r="M3">
        <v>18000</v>
      </c>
    </row>
    <row r="4" spans="1:13">
      <c r="A4" t="s">
        <v>22</v>
      </c>
      <c r="B4" t="s">
        <v>23</v>
      </c>
      <c r="C4" t="s">
        <v>24</v>
      </c>
      <c r="D4">
        <v>30</v>
      </c>
      <c r="E4">
        <v>1500</v>
      </c>
      <c r="F4" t="s">
        <v>25</v>
      </c>
      <c r="G4" t="s">
        <v>26</v>
      </c>
      <c r="H4" t="s">
        <v>17</v>
      </c>
      <c r="I4">
        <v>95</v>
      </c>
      <c r="J4">
        <v>8</v>
      </c>
      <c r="K4">
        <v>0.2</v>
      </c>
      <c r="L4">
        <v>1700</v>
      </c>
      <c r="M4">
        <v>22000</v>
      </c>
    </row>
    <row r="5" spans="1:13">
      <c r="A5" t="s">
        <v>27</v>
      </c>
      <c r="B5" t="s">
        <v>28</v>
      </c>
      <c r="C5" t="s">
        <v>11</v>
      </c>
      <c r="D5">
        <v>45</v>
      </c>
      <c r="E5">
        <v>1800</v>
      </c>
      <c r="F5" t="s">
        <v>25</v>
      </c>
      <c r="G5" t="s">
        <v>29</v>
      </c>
      <c r="H5" t="s">
        <v>21</v>
      </c>
      <c r="I5">
        <v>91</v>
      </c>
      <c r="J5">
        <v>10</v>
      </c>
      <c r="K5">
        <v>1.5</v>
      </c>
      <c r="L5">
        <v>2000</v>
      </c>
      <c r="M5">
        <v>25000</v>
      </c>
    </row>
    <row r="6" spans="1:13">
      <c r="A6" t="s">
        <v>30</v>
      </c>
      <c r="B6" t="s">
        <v>31</v>
      </c>
      <c r="C6" t="s">
        <v>32</v>
      </c>
      <c r="D6">
        <v>37</v>
      </c>
      <c r="E6">
        <v>1450</v>
      </c>
      <c r="F6" t="s">
        <v>15</v>
      </c>
      <c r="G6" t="s">
        <v>33</v>
      </c>
      <c r="H6" t="s">
        <v>17</v>
      </c>
      <c r="I6">
        <v>84</v>
      </c>
      <c r="J6">
        <v>9</v>
      </c>
      <c r="K6">
        <v>3</v>
      </c>
      <c r="L6">
        <v>1400</v>
      </c>
      <c r="M6">
        <v>16000</v>
      </c>
    </row>
    <row r="7" spans="1:13">
      <c r="A7" t="s">
        <v>34</v>
      </c>
      <c r="B7" t="s">
        <v>35</v>
      </c>
      <c r="C7" t="s">
        <v>11</v>
      </c>
      <c r="D7">
        <v>11</v>
      </c>
      <c r="E7">
        <v>1450</v>
      </c>
      <c r="F7" t="s">
        <v>36</v>
      </c>
      <c r="G7" t="s">
        <v>37</v>
      </c>
      <c r="H7" t="s">
        <v>17</v>
      </c>
      <c r="I7">
        <v>89</v>
      </c>
      <c r="J7">
        <v>11</v>
      </c>
      <c r="K7">
        <v>1</v>
      </c>
      <c r="L7">
        <v>1300</v>
      </c>
      <c r="M7">
        <v>12000</v>
      </c>
    </row>
    <row r="8" spans="1:13">
      <c r="A8" t="s">
        <v>38</v>
      </c>
      <c r="B8" t="s">
        <v>39</v>
      </c>
      <c r="C8" t="s">
        <v>32</v>
      </c>
      <c r="D8">
        <v>18.5</v>
      </c>
      <c r="E8">
        <v>2900</v>
      </c>
      <c r="F8" t="s">
        <v>36</v>
      </c>
      <c r="G8" t="s">
        <v>40</v>
      </c>
      <c r="H8" t="s">
        <v>17</v>
      </c>
      <c r="I8">
        <v>93</v>
      </c>
      <c r="J8">
        <v>10</v>
      </c>
      <c r="K8">
        <v>0.5</v>
      </c>
      <c r="L8">
        <v>1600</v>
      </c>
      <c r="M8">
        <v>14000</v>
      </c>
    </row>
    <row r="9" spans="1:13">
      <c r="A9" t="s">
        <v>41</v>
      </c>
      <c r="B9" t="s">
        <v>42</v>
      </c>
      <c r="C9" t="s">
        <v>24</v>
      </c>
      <c r="D9">
        <v>25</v>
      </c>
      <c r="E9">
        <v>2800</v>
      </c>
      <c r="F9" t="s">
        <v>25</v>
      </c>
      <c r="G9" t="s">
        <v>43</v>
      </c>
      <c r="H9" t="s">
        <v>21</v>
      </c>
      <c r="I9">
        <v>80</v>
      </c>
      <c r="J9">
        <v>8</v>
      </c>
      <c r="K9">
        <v>2.5</v>
      </c>
      <c r="L9">
        <v>1100</v>
      </c>
      <c r="M9">
        <v>21000</v>
      </c>
    </row>
    <row r="10" spans="1:13">
      <c r="A10" t="s">
        <v>44</v>
      </c>
      <c r="B10" t="s">
        <v>45</v>
      </c>
      <c r="C10" t="s">
        <v>46</v>
      </c>
      <c r="D10">
        <v>100</v>
      </c>
      <c r="E10">
        <v>1500</v>
      </c>
      <c r="F10" t="s">
        <v>47</v>
      </c>
      <c r="G10" t="s">
        <v>48</v>
      </c>
      <c r="H10" t="s">
        <v>17</v>
      </c>
      <c r="I10">
        <v>97</v>
      </c>
      <c r="J10">
        <v>12</v>
      </c>
      <c r="K10">
        <v>0.1</v>
      </c>
      <c r="L10">
        <v>2500</v>
      </c>
      <c r="M10">
        <v>10000</v>
      </c>
    </row>
    <row r="11" spans="1:13">
      <c r="A11" t="s">
        <v>49</v>
      </c>
      <c r="B11" t="s">
        <v>50</v>
      </c>
      <c r="C11" t="s">
        <v>51</v>
      </c>
      <c r="D11">
        <v>12</v>
      </c>
      <c r="E11">
        <v>3000</v>
      </c>
      <c r="F11" t="s">
        <v>52</v>
      </c>
      <c r="G11" t="s">
        <v>53</v>
      </c>
      <c r="H11" t="s">
        <v>17</v>
      </c>
      <c r="I11">
        <v>86</v>
      </c>
      <c r="J11">
        <v>9</v>
      </c>
      <c r="K11">
        <v>1.2</v>
      </c>
      <c r="L11">
        <v>1250</v>
      </c>
      <c r="M11">
        <v>13000</v>
      </c>
    </row>
    <row r="14" ht="26.25" spans="1:13">
      <c r="A14" s="5"/>
      <c r="B14" s="6" t="s">
        <v>54</v>
      </c>
      <c r="C14" s="6"/>
      <c r="D14" s="7"/>
      <c r="E14" s="7"/>
    </row>
    <row r="15" ht="18.75" spans="1:13">
      <c r="B15" s="8" t="s">
        <v>55</v>
      </c>
      <c r="C15" s="8" t="s">
        <v>56</v>
      </c>
    </row>
    <row r="16" spans="1:13">
      <c r="B16" s="9" t="s">
        <v>57</v>
      </c>
      <c r="C16" s="9">
        <f>SUM(L:L)</f>
        <v>15550</v>
      </c>
    </row>
    <row r="17" spans="2:5">
      <c r="B17" s="9" t="s">
        <v>58</v>
      </c>
      <c r="C17" s="9">
        <f>AVERAGE(I:I)</f>
        <v>88.9</v>
      </c>
    </row>
    <row r="18" spans="2:5">
      <c r="B18" s="9" t="s">
        <v>59</v>
      </c>
      <c r="C18" s="9">
        <f>SUM(K:K)</f>
        <v>12.5</v>
      </c>
    </row>
    <row r="19" spans="2:5">
      <c r="B19" s="9" t="s">
        <v>60</v>
      </c>
      <c r="C19" s="9">
        <f>SUM(M:M)</f>
        <v>166000</v>
      </c>
    </row>
    <row r="20" ht="30" spans="2:5">
      <c r="B20" s="9" t="s">
        <v>61</v>
      </c>
      <c r="C20" s="9">
        <f>COUNTIF(H:H,"Pending")</f>
        <v>3</v>
      </c>
    </row>
    <row r="21" spans="2:5">
      <c r="B21" s="9" t="s">
        <v>62</v>
      </c>
      <c r="C21" s="10" t="str" cm="1">
        <f t="array" ref="C21">INDEX(A2:A11,MATCH(MAX(I2:I12),I2:I12,0))&amp;" - "&amp;INDEX(B2:B11,MATCH(MAX(I2:I11),I2:I11,0))</f>
        <v>M-109 - Transformer</v>
      </c>
    </row>
    <row r="26" ht="26.25" spans="2:5">
      <c r="B26" s="11" t="s">
        <v>63</v>
      </c>
      <c r="C26" s="11"/>
      <c r="D26" s="11"/>
      <c r="E26" s="11"/>
    </row>
    <row r="27" ht="30" spans="2:5">
      <c r="B27" s="12" t="s">
        <v>64</v>
      </c>
      <c r="C27" s="9"/>
      <c r="D27" s="9"/>
      <c r="E27" s="9"/>
    </row>
    <row r="28" spans="2:5">
      <c r="B28" s="9"/>
      <c r="C28" s="9"/>
      <c r="D28" s="9"/>
      <c r="E28" s="9"/>
    </row>
    <row r="29" spans="2:5">
      <c r="B29" s="4" t="s">
        <v>0</v>
      </c>
      <c r="C29" s="4" t="s">
        <v>1</v>
      </c>
      <c r="D29" s="4" t="s">
        <v>8</v>
      </c>
      <c r="E29" s="4" t="s">
        <v>10</v>
      </c>
    </row>
    <row r="30" spans="2:5">
      <c r="B30" t="s">
        <v>13</v>
      </c>
      <c r="C30" t="s">
        <v>14</v>
      </c>
      <c r="D30">
        <v>92</v>
      </c>
      <c r="E30">
        <v>0.5</v>
      </c>
    </row>
    <row r="31" spans="2:5">
      <c r="B31" t="s">
        <v>22</v>
      </c>
      <c r="C31" t="s">
        <v>23</v>
      </c>
      <c r="D31">
        <v>95</v>
      </c>
      <c r="E31">
        <v>0.2</v>
      </c>
    </row>
    <row r="32" spans="2:5">
      <c r="B32" t="s">
        <v>38</v>
      </c>
      <c r="C32" t="s">
        <v>39</v>
      </c>
      <c r="D32">
        <v>93</v>
      </c>
      <c r="E32">
        <v>0.5</v>
      </c>
    </row>
    <row r="33" spans="2:6">
      <c r="B33" t="s">
        <v>44</v>
      </c>
      <c r="C33" t="s">
        <v>45</v>
      </c>
      <c r="D33">
        <v>97</v>
      </c>
      <c r="E33">
        <v>0.1</v>
      </c>
    </row>
    <row r="38" ht="26.25" spans="2:6">
      <c r="B38" s="3" t="s">
        <v>65</v>
      </c>
      <c r="C38" s="3"/>
      <c r="D38" s="3"/>
      <c r="E38" s="3"/>
      <c r="F38" s="3"/>
    </row>
    <row r="39" spans="2:6">
      <c r="B39" s="2"/>
      <c r="C39" s="2"/>
      <c r="D39" s="2"/>
      <c r="E39" s="2"/>
      <c r="F39" s="2"/>
    </row>
    <row r="40" spans="2:6">
      <c r="C40" s="4" t="s">
        <v>0</v>
      </c>
      <c r="D40" s="4" t="s">
        <v>1</v>
      </c>
      <c r="E40" s="4" t="s">
        <v>7</v>
      </c>
      <c r="F40" s="4" t="s">
        <v>8</v>
      </c>
    </row>
    <row r="41" spans="2:6">
      <c r="C41" t="s">
        <v>18</v>
      </c>
      <c r="D41" t="s">
        <v>19</v>
      </c>
      <c r="E41" t="s">
        <v>21</v>
      </c>
      <c r="F41">
        <v>82</v>
      </c>
    </row>
    <row r="42" spans="2:6">
      <c r="C42" t="s">
        <v>41</v>
      </c>
      <c r="D42" t="s">
        <v>42</v>
      </c>
      <c r="E42" t="s">
        <v>21</v>
      </c>
      <c r="F42">
        <v>80</v>
      </c>
    </row>
  </sheetData>
  <mergeCells count="3">
    <mergeCell ref="B14:C14"/>
    <mergeCell ref="B26:E26"/>
    <mergeCell ref="B38:F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G14" sqref="G14:K16"/>
    </sheetView>
  </sheetViews>
  <sheetFormatPr defaultColWidth="9" defaultRowHeight="15"/>
  <cols>
    <col min="1" max="1" width="32.2857142857143" customWidth="1"/>
    <col min="2" max="4" width="25" customWidth="1"/>
    <col min="5" max="8" width="12.7142857142857" customWidth="1"/>
  </cols>
  <sheetData>
    <row r="1" spans="1:11">
      <c r="C1" s="1"/>
      <c r="D1" s="1"/>
    </row>
    <row r="2" spans="1:11">
      <c r="C2" s="2"/>
      <c r="D2" s="2"/>
    </row>
    <row r="3" spans="1:11">
      <c r="C3" s="2"/>
      <c r="D3" s="2"/>
    </row>
    <row r="4" spans="1:11">
      <c r="C4" s="2"/>
      <c r="D4" s="2"/>
    </row>
    <row r="5" spans="1:11">
      <c r="C5" s="2"/>
      <c r="D5" s="2"/>
    </row>
    <row r="6" spans="1:11">
      <c r="C6" s="2"/>
      <c r="D6" s="2"/>
    </row>
    <row r="7" spans="1:11">
      <c r="C7" s="2"/>
      <c r="D7" s="2"/>
    </row>
    <row r="8" spans="1:11">
      <c r="C8" s="2"/>
      <c r="D8" s="2"/>
    </row>
    <row r="9" spans="1:11">
      <c r="A9" s="2"/>
      <c r="B9" s="2"/>
      <c r="C9" s="2"/>
      <c r="D9" s="2"/>
    </row>
    <row r="14" ht="26.25" spans="1:11">
      <c r="H14" s="3" t="s">
        <v>65</v>
      </c>
      <c r="I14" s="3"/>
      <c r="J14" s="3"/>
      <c r="K14" s="3"/>
    </row>
    <row r="15" spans="1:11">
      <c r="E15" s="2"/>
      <c r="F15" s="2"/>
      <c r="G15" s="2"/>
      <c r="H15" s="2"/>
      <c r="I15" s="2"/>
      <c r="J15" s="2"/>
      <c r="K15" s="2"/>
    </row>
    <row r="16" ht="30" spans="1:11">
      <c r="E16" s="2"/>
      <c r="F16" s="2"/>
      <c r="G16" s="2"/>
      <c r="H16" s="2" t="s">
        <v>0</v>
      </c>
      <c r="I16" s="2" t="s">
        <v>1</v>
      </c>
      <c r="J16" s="2" t="s">
        <v>66</v>
      </c>
      <c r="K16" s="2" t="s">
        <v>7</v>
      </c>
    </row>
    <row r="18" spans="1:4">
      <c r="A18" s="2"/>
      <c r="B18" s="2"/>
      <c r="C18" s="2"/>
      <c r="D18" s="2"/>
    </row>
  </sheetData>
  <mergeCells count="1">
    <mergeCell ref="H14:K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Machine_Data</vt:lpstr>
      <vt:lpstr>Final_Report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Shahibul hasan Siam</cp:lastModifiedBy>
  <dcterms:created xsi:type="dcterms:W3CDTF">2026-09-20T05:49:00Z</dcterms:created>
  <dcterms:modified xsi:type="dcterms:W3CDTF">2026-09-20T07:05:06Z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B0CA7AC0008642EE82929F47895D29F0_13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