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Excel practice\"/>
    </mc:Choice>
  </mc:AlternateContent>
  <xr:revisionPtr revIDLastSave="0" documentId="13_ncr:1_{7E07E3DB-01AD-4765-99E7-2ED694AC9EB5}" xr6:coauthVersionLast="47" xr6:coauthVersionMax="47" xr10:uidLastSave="{00000000-0000-0000-0000-000000000000}"/>
  <bookViews>
    <workbookView xWindow="2115" yWindow="1200" windowWidth="17715" windowHeight="7785" xr2:uid="{00000000-000D-0000-FFFF-FFFF00000000}"/>
  </bookViews>
  <sheets>
    <sheet name="Pump Test Data" sheetId="1" r:id="rId1"/>
    <sheet name="Practice Questions" sheetId="2" r:id="rId2"/>
    <sheet name="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4" i="1"/>
  <c r="K5" i="1"/>
  <c r="K6" i="1"/>
  <c r="K7" i="1"/>
  <c r="K8" i="1"/>
  <c r="K9" i="1"/>
  <c r="K10" i="1"/>
  <c r="K11" i="1"/>
  <c r="K3" i="1"/>
  <c r="K2" i="1"/>
  <c r="J3" i="1"/>
  <c r="J4" i="1"/>
  <c r="J5" i="1"/>
  <c r="J6" i="1"/>
  <c r="J7" i="1"/>
  <c r="J8" i="1"/>
  <c r="J9" i="1"/>
  <c r="J10" i="1"/>
  <c r="J11" i="1"/>
  <c r="J2" i="1"/>
  <c r="I3" i="1"/>
  <c r="I8" i="1"/>
  <c r="I9" i="1"/>
  <c r="I11" i="1"/>
  <c r="I7" i="1"/>
  <c r="I2" i="1"/>
  <c r="I10" i="1" l="1"/>
  <c r="I6" i="1"/>
  <c r="I5" i="1"/>
  <c r="I4" i="1"/>
</calcChain>
</file>

<file path=xl/sharedStrings.xml><?xml version="1.0" encoding="utf-8"?>
<sst xmlns="http://schemas.openxmlformats.org/spreadsheetml/2006/main" count="113" uniqueCount="71">
  <si>
    <t>Test No</t>
  </si>
  <si>
    <t>Flow Rate (L/min)</t>
  </si>
  <si>
    <t>Pressure (bar)</t>
  </si>
  <si>
    <t>Power Input (kW)</t>
  </si>
  <si>
    <t>Output Power (kW)</t>
  </si>
  <si>
    <t>Temperature (C)</t>
  </si>
  <si>
    <t>Operating Hours</t>
  </si>
  <si>
    <t>Maintenance Cost ($)</t>
  </si>
  <si>
    <t>Question No</t>
  </si>
  <si>
    <t>Practice Task</t>
  </si>
  <si>
    <t>Q1</t>
  </si>
  <si>
    <t>Calculate descriptive statistics: Mean, Median, Minimum, Maximum, Range of Flow Rate</t>
  </si>
  <si>
    <t>Q2</t>
  </si>
  <si>
    <t>Calculate descriptive statistics for Power Input</t>
  </si>
  <si>
    <t>Q3</t>
  </si>
  <si>
    <t>Calculate standard deviation of Temperature</t>
  </si>
  <si>
    <t>Q4</t>
  </si>
  <si>
    <t>Calculate variance of Power Input</t>
  </si>
  <si>
    <t>Q5</t>
  </si>
  <si>
    <t>Compare variation using standard deviation and variance</t>
  </si>
  <si>
    <t>Q6</t>
  </si>
  <si>
    <t>Find 90th percentile of Flow Rate</t>
  </si>
  <si>
    <t>Q7</t>
  </si>
  <si>
    <t>Find 25th and 75th percentile of Temperature</t>
  </si>
  <si>
    <t>Q8</t>
  </si>
  <si>
    <t>Calculate correlation between Flow Rate and Output Power</t>
  </si>
  <si>
    <t>Q9</t>
  </si>
  <si>
    <t>Calculate other correlations</t>
  </si>
  <si>
    <t>Q10</t>
  </si>
  <si>
    <t>Create regression model: Output Power from Flow Rate</t>
  </si>
  <si>
    <t>Q11</t>
  </si>
  <si>
    <t>Create temperature trend analysis</t>
  </si>
  <si>
    <t>Q12</t>
  </si>
  <si>
    <t>Create power trend analysis</t>
  </si>
  <si>
    <t>Q13</t>
  </si>
  <si>
    <t>Calculate 3-test moving average</t>
  </si>
  <si>
    <t>Q14</t>
  </si>
  <si>
    <t>Forecast next test value</t>
  </si>
  <si>
    <t>Q15</t>
  </si>
  <si>
    <t>Use Goal Seek</t>
  </si>
  <si>
    <t>Q16</t>
  </si>
  <si>
    <t>Create Scenario Manager cases</t>
  </si>
  <si>
    <t>Q17</t>
  </si>
  <si>
    <t>Create Data Table sensitivity analysis</t>
  </si>
  <si>
    <t>Q18</t>
  </si>
  <si>
    <t>Calculate efficiency</t>
  </si>
  <si>
    <t>Q19</t>
  </si>
  <si>
    <t>Calculate energy consumption</t>
  </si>
  <si>
    <t>Q20</t>
  </si>
  <si>
    <t>Calculate maintenance cost per hour</t>
  </si>
  <si>
    <t>Q21</t>
  </si>
  <si>
    <t>Convert L/min to m3/hr</t>
  </si>
  <si>
    <t>Q22</t>
  </si>
  <si>
    <t>Convert bar to Pascal</t>
  </si>
  <si>
    <t>Q23</t>
  </si>
  <si>
    <t>Calculate measurement error</t>
  </si>
  <si>
    <t>Q24</t>
  </si>
  <si>
    <t>Calculate percentage error</t>
  </si>
  <si>
    <t>Q25</t>
  </si>
  <si>
    <t>Perform tolerance check</t>
  </si>
  <si>
    <t>Efficiency (%)</t>
  </si>
  <si>
    <t>Energy Consumption</t>
  </si>
  <si>
    <t>Moving Average</t>
  </si>
  <si>
    <t>Error Calculation</t>
  </si>
  <si>
    <t/>
  </si>
  <si>
    <t>Status</t>
  </si>
  <si>
    <t>Efficiency</t>
  </si>
  <si>
    <t>Energy</t>
  </si>
  <si>
    <t>Maintenance Cost(per hour)</t>
  </si>
  <si>
    <t>Unit Converstion(L/min-&gt;m^3/hr)</t>
  </si>
  <si>
    <t>unit conversion(bar-&gt; 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</si>
</sst>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 vertical="center" indent="5"/>
    </xf>
    <xf numFmtId="0" fontId="2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O1" workbookViewId="0">
      <pane ySplit="1" topLeftCell="A2" activePane="bottomLeft" state="frozen"/>
      <selection pane="bottomLeft" activeCell="P2" sqref="P2"/>
    </sheetView>
  </sheetViews>
  <sheetFormatPr defaultColWidth="9" defaultRowHeight="15"/>
  <cols>
    <col min="1" max="5" width="20" customWidth="1"/>
    <col min="6" max="6" width="22.42578125" customWidth="1"/>
    <col min="7" max="8" width="20" customWidth="1"/>
    <col min="9" max="9" width="18.140625" customWidth="1"/>
    <col min="10" max="10" width="19.7109375" customWidth="1"/>
    <col min="11" max="11" width="19.85546875" customWidth="1"/>
    <col min="12" max="12" width="16.140625" customWidth="1"/>
    <col min="13" max="13" width="26.42578125" customWidth="1"/>
    <col min="14" max="14" width="32.5703125" customWidth="1"/>
    <col min="15" max="15" width="23.7109375" customWidth="1"/>
    <col min="16" max="16" width="18.14062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0" t="s">
        <v>65</v>
      </c>
      <c r="J1" s="10" t="s">
        <v>62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10" t="s">
        <v>65</v>
      </c>
    </row>
    <row r="2" spans="1:16">
      <c r="A2">
        <v>1</v>
      </c>
      <c r="B2">
        <v>120</v>
      </c>
      <c r="C2">
        <v>3.2</v>
      </c>
      <c r="D2">
        <v>5.5</v>
      </c>
      <c r="E2">
        <v>4.0999999999999996</v>
      </c>
      <c r="F2">
        <v>65</v>
      </c>
      <c r="G2">
        <v>120</v>
      </c>
      <c r="H2">
        <v>250</v>
      </c>
      <c r="I2" t="str">
        <f>IF(B2&gt;=$D$19,"Top 10%",IF(B2&gt;$D$15,"High perfomance",IF(#REF!&lt;B2,"Normal","low")))</f>
        <v>Top 10%</v>
      </c>
      <c r="J2">
        <f>AVERAGE(B2:B4)</f>
        <v>127.66666666666667</v>
      </c>
      <c r="K2">
        <f>(E2/D2)*100</f>
        <v>74.545454545454533</v>
      </c>
      <c r="L2">
        <f>E2*G2</f>
        <v>491.99999999999994</v>
      </c>
      <c r="M2" s="11">
        <f>H2/G2</f>
        <v>2.0833333333333335</v>
      </c>
      <c r="N2">
        <f>B2*0.06</f>
        <v>7.1999999999999993</v>
      </c>
      <c r="O2">
        <f>B2*1000</f>
        <v>120000</v>
      </c>
      <c r="P2" t="str">
        <f>IF(AND(C2&gt;=3.8,C2&lt;=4.2),"Accept","Reject")</f>
        <v>Reject</v>
      </c>
    </row>
    <row r="3" spans="1:16">
      <c r="A3">
        <v>2</v>
      </c>
      <c r="B3">
        <v>135</v>
      </c>
      <c r="C3">
        <v>3.5</v>
      </c>
      <c r="D3">
        <v>5.8</v>
      </c>
      <c r="E3">
        <v>4.5</v>
      </c>
      <c r="F3">
        <v>67</v>
      </c>
      <c r="G3">
        <v>150</v>
      </c>
      <c r="H3">
        <v>300</v>
      </c>
      <c r="I3" t="str">
        <f>IF(B3&gt;=$D$19,"Top 10%",IF(B3&gt;$D$15,"High perfomance",IF(#REF!&lt;B3,"Normal","low")))</f>
        <v>Top 10%</v>
      </c>
      <c r="J3">
        <f t="shared" ref="J3:J10" si="0">AVERAGE(B3:B5)</f>
        <v>136</v>
      </c>
      <c r="K3">
        <f>(E3/D3)*100</f>
        <v>77.58620689655173</v>
      </c>
      <c r="L3">
        <f t="shared" ref="L3:L11" si="1">E3*G3</f>
        <v>675</v>
      </c>
      <c r="M3" s="11">
        <f t="shared" ref="M3:M11" si="2">H3/G3</f>
        <v>2</v>
      </c>
      <c r="N3">
        <f t="shared" ref="N3:N11" si="3">B3*0.06</f>
        <v>8.1</v>
      </c>
      <c r="O3">
        <f t="shared" ref="O3:O11" si="4">B3*1000</f>
        <v>135000</v>
      </c>
      <c r="P3" t="str">
        <f t="shared" ref="P3:P11" si="5">IF(AND(C3&gt;=3.8,C3&lt;=4.2),"Accept","Reject")</f>
        <v>Reject</v>
      </c>
    </row>
    <row r="4" spans="1:16">
      <c r="A4">
        <v>3</v>
      </c>
      <c r="B4">
        <v>128</v>
      </c>
      <c r="C4">
        <v>3.3</v>
      </c>
      <c r="D4">
        <v>5.6</v>
      </c>
      <c r="E4">
        <v>4.2</v>
      </c>
      <c r="F4">
        <v>66</v>
      </c>
      <c r="G4">
        <v>130</v>
      </c>
      <c r="H4">
        <v>280</v>
      </c>
      <c r="I4" t="str">
        <f>IF(B4&gt;=$D$19,"Top 10%",IF(B4&gt;$D$15,"High perfomance",IF(#REF!&lt;B4,"Normal","low")))</f>
        <v>Top 10%</v>
      </c>
      <c r="J4">
        <f t="shared" si="0"/>
        <v>141</v>
      </c>
      <c r="K4">
        <f t="shared" ref="K4:K11" si="6">(E4/D4)*100</f>
        <v>75.000000000000014</v>
      </c>
      <c r="L4">
        <f t="shared" si="1"/>
        <v>546</v>
      </c>
      <c r="M4" s="11">
        <f t="shared" si="2"/>
        <v>2.1538461538461537</v>
      </c>
      <c r="N4">
        <f t="shared" si="3"/>
        <v>7.68</v>
      </c>
      <c r="O4">
        <f t="shared" si="4"/>
        <v>128000</v>
      </c>
      <c r="P4" t="str">
        <f t="shared" si="5"/>
        <v>Reject</v>
      </c>
    </row>
    <row r="5" spans="1:16">
      <c r="A5">
        <v>4</v>
      </c>
      <c r="B5">
        <v>145</v>
      </c>
      <c r="C5">
        <v>3.8</v>
      </c>
      <c r="D5">
        <v>6.2</v>
      </c>
      <c r="E5">
        <v>4.9000000000000004</v>
      </c>
      <c r="F5">
        <v>70</v>
      </c>
      <c r="G5">
        <v>180</v>
      </c>
      <c r="H5">
        <v>350</v>
      </c>
      <c r="I5" t="str">
        <f>IF(B5&gt;=$D$19,"Top 10%",IF(B5&gt;$D$15,"High perfomance",IF(#REF!&lt;B5,"Normal","low")))</f>
        <v>Top 10%</v>
      </c>
      <c r="J5">
        <f t="shared" si="0"/>
        <v>144.33333333333334</v>
      </c>
      <c r="K5">
        <f t="shared" si="6"/>
        <v>79.032258064516142</v>
      </c>
      <c r="L5">
        <f t="shared" si="1"/>
        <v>882.00000000000011</v>
      </c>
      <c r="M5" s="11">
        <f t="shared" si="2"/>
        <v>1.9444444444444444</v>
      </c>
      <c r="N5">
        <f t="shared" si="3"/>
        <v>8.6999999999999993</v>
      </c>
      <c r="O5">
        <f t="shared" si="4"/>
        <v>145000</v>
      </c>
      <c r="P5" t="str">
        <f t="shared" si="5"/>
        <v>Accept</v>
      </c>
    </row>
    <row r="6" spans="1:16">
      <c r="A6">
        <v>5</v>
      </c>
      <c r="B6">
        <v>150</v>
      </c>
      <c r="C6">
        <v>4</v>
      </c>
      <c r="D6">
        <v>6.5</v>
      </c>
      <c r="E6">
        <v>5.2</v>
      </c>
      <c r="F6">
        <v>72</v>
      </c>
      <c r="G6">
        <v>200</v>
      </c>
      <c r="H6">
        <v>400</v>
      </c>
      <c r="I6" t="str">
        <f>IF(B6&gt;=$D$19,"Top 10%",IF(B6&gt;$D$15,"High perfomance",IF(#REF!&lt;B6,"Normal","low")))</f>
        <v>Top 10%</v>
      </c>
      <c r="J6">
        <f t="shared" si="0"/>
        <v>137.66666666666666</v>
      </c>
      <c r="K6">
        <f t="shared" si="6"/>
        <v>80</v>
      </c>
      <c r="L6">
        <f t="shared" si="1"/>
        <v>1040</v>
      </c>
      <c r="M6" s="11">
        <f t="shared" si="2"/>
        <v>2</v>
      </c>
      <c r="N6">
        <f t="shared" si="3"/>
        <v>9</v>
      </c>
      <c r="O6">
        <f t="shared" si="4"/>
        <v>150000</v>
      </c>
      <c r="P6" t="str">
        <f t="shared" si="5"/>
        <v>Accept</v>
      </c>
    </row>
    <row r="7" spans="1:16">
      <c r="A7">
        <v>6</v>
      </c>
      <c r="B7">
        <v>138</v>
      </c>
      <c r="C7">
        <v>3.6</v>
      </c>
      <c r="D7">
        <v>5.9</v>
      </c>
      <c r="E7">
        <v>4.5999999999999996</v>
      </c>
      <c r="F7">
        <v>68</v>
      </c>
      <c r="G7">
        <v>160</v>
      </c>
      <c r="H7">
        <v>320</v>
      </c>
      <c r="I7" t="str">
        <f>IF(B7&gt;=$D$19,"Top 10%",IF(B7&gt;$D$15,"High perfomance",IF(#REF!&lt;B7,"Normal","low")))</f>
        <v>Top 10%</v>
      </c>
      <c r="J7">
        <f t="shared" si="0"/>
        <v>139.33333333333334</v>
      </c>
      <c r="K7">
        <f t="shared" si="6"/>
        <v>77.966101694915253</v>
      </c>
      <c r="L7">
        <f t="shared" si="1"/>
        <v>736</v>
      </c>
      <c r="M7" s="11">
        <f t="shared" si="2"/>
        <v>2</v>
      </c>
      <c r="N7">
        <f t="shared" si="3"/>
        <v>8.2799999999999994</v>
      </c>
      <c r="O7">
        <f t="shared" si="4"/>
        <v>138000</v>
      </c>
      <c r="P7" t="str">
        <f t="shared" si="5"/>
        <v>Reject</v>
      </c>
    </row>
    <row r="8" spans="1:16">
      <c r="A8">
        <v>7</v>
      </c>
      <c r="B8">
        <v>125</v>
      </c>
      <c r="C8">
        <v>3.1</v>
      </c>
      <c r="D8">
        <v>5.4</v>
      </c>
      <c r="E8">
        <v>4</v>
      </c>
      <c r="F8">
        <v>64</v>
      </c>
      <c r="G8">
        <v>110</v>
      </c>
      <c r="H8">
        <v>220</v>
      </c>
      <c r="I8" t="str">
        <f>IF(B8&gt;=$D$19,"Top 10%",IF(B8&gt;$D$15,"High perfomance",IF(#REF!&lt;B8,"Normal","low")))</f>
        <v>Top 10%</v>
      </c>
      <c r="J8">
        <f t="shared" si="0"/>
        <v>142.66666666666666</v>
      </c>
      <c r="K8">
        <f t="shared" si="6"/>
        <v>74.074074074074076</v>
      </c>
      <c r="L8">
        <f t="shared" si="1"/>
        <v>440</v>
      </c>
      <c r="M8" s="11">
        <f t="shared" si="2"/>
        <v>2</v>
      </c>
      <c r="N8">
        <f t="shared" si="3"/>
        <v>7.5</v>
      </c>
      <c r="O8">
        <f t="shared" si="4"/>
        <v>125000</v>
      </c>
      <c r="P8" t="str">
        <f t="shared" si="5"/>
        <v>Reject</v>
      </c>
    </row>
    <row r="9" spans="1:16">
      <c r="A9">
        <v>8</v>
      </c>
      <c r="B9">
        <v>155</v>
      </c>
      <c r="C9">
        <v>4.2</v>
      </c>
      <c r="D9">
        <v>6.8</v>
      </c>
      <c r="E9">
        <v>5.5</v>
      </c>
      <c r="F9">
        <v>75</v>
      </c>
      <c r="G9">
        <v>220</v>
      </c>
      <c r="H9">
        <v>450</v>
      </c>
      <c r="I9" t="str">
        <f>IF(B9&gt;=$D$19,"Top 10%",IF(B9&gt;$D$15,"High perfomance",IF(#REF!&lt;B9,"Normal","low")))</f>
        <v>Top 10%</v>
      </c>
      <c r="J9">
        <f t="shared" si="0"/>
        <v>145</v>
      </c>
      <c r="K9">
        <f t="shared" si="6"/>
        <v>80.882352941176478</v>
      </c>
      <c r="L9">
        <f t="shared" si="1"/>
        <v>1210</v>
      </c>
      <c r="M9" s="11">
        <f t="shared" si="2"/>
        <v>2.0454545454545454</v>
      </c>
      <c r="N9">
        <f t="shared" si="3"/>
        <v>9.2999999999999989</v>
      </c>
      <c r="O9">
        <f t="shared" si="4"/>
        <v>155000</v>
      </c>
      <c r="P9" t="str">
        <f t="shared" si="5"/>
        <v>Accept</v>
      </c>
    </row>
    <row r="10" spans="1:16">
      <c r="A10">
        <v>9</v>
      </c>
      <c r="B10">
        <v>148</v>
      </c>
      <c r="C10">
        <v>3.9</v>
      </c>
      <c r="D10">
        <v>6.3</v>
      </c>
      <c r="E10">
        <v>5</v>
      </c>
      <c r="F10">
        <v>71</v>
      </c>
      <c r="G10">
        <v>190</v>
      </c>
      <c r="H10">
        <v>380</v>
      </c>
      <c r="I10" t="str">
        <f>IF(B10&gt;=$D$19,"Top 10%",IF(B10&gt;$D$15,"High perfomance",IF(#REF!&lt;B10,"Normal","low")))</f>
        <v>Top 10%</v>
      </c>
      <c r="J10">
        <f t="shared" si="0"/>
        <v>140</v>
      </c>
      <c r="K10">
        <f t="shared" si="6"/>
        <v>79.365079365079367</v>
      </c>
      <c r="L10">
        <f t="shared" si="1"/>
        <v>950</v>
      </c>
      <c r="M10" s="11">
        <f t="shared" si="2"/>
        <v>2</v>
      </c>
      <c r="N10">
        <f t="shared" si="3"/>
        <v>8.879999999999999</v>
      </c>
      <c r="O10">
        <f t="shared" si="4"/>
        <v>148000</v>
      </c>
      <c r="P10" t="str">
        <f t="shared" si="5"/>
        <v>Accept</v>
      </c>
    </row>
    <row r="11" spans="1:16">
      <c r="A11">
        <v>10</v>
      </c>
      <c r="B11">
        <v>132</v>
      </c>
      <c r="C11">
        <v>3.4</v>
      </c>
      <c r="D11">
        <v>5.7</v>
      </c>
      <c r="E11">
        <v>4.3</v>
      </c>
      <c r="F11">
        <v>66</v>
      </c>
      <c r="G11">
        <v>140</v>
      </c>
      <c r="H11">
        <v>290</v>
      </c>
      <c r="I11" t="str">
        <f>IF(B11&gt;=$D$19,"Top 10%",IF(B11&gt;$D$15,"High perfomance",IF(#REF!&lt;B11,"Normal","low")))</f>
        <v>Top 10%</v>
      </c>
      <c r="J11">
        <f>AVERAGE(B11:B13)</f>
        <v>132</v>
      </c>
      <c r="K11">
        <f t="shared" si="6"/>
        <v>75.438596491228054</v>
      </c>
      <c r="L11">
        <f t="shared" si="1"/>
        <v>602</v>
      </c>
      <c r="M11" s="11">
        <f t="shared" si="2"/>
        <v>2.0714285714285716</v>
      </c>
      <c r="N11">
        <f t="shared" si="3"/>
        <v>7.92</v>
      </c>
      <c r="O11">
        <f t="shared" si="4"/>
        <v>132000</v>
      </c>
      <c r="P11" t="str">
        <f t="shared" si="5"/>
        <v>Reject</v>
      </c>
    </row>
    <row r="13" spans="1:16" ht="15.75">
      <c r="A13" s="9"/>
      <c r="B13" s="5"/>
    </row>
    <row r="14" spans="1:16" ht="15.75">
      <c r="A14" s="3"/>
      <c r="B14" s="9"/>
      <c r="C14" s="9"/>
      <c r="D14" s="3"/>
      <c r="E14" s="4"/>
      <c r="F14" s="4"/>
    </row>
    <row r="15" spans="1:16" ht="15.75">
      <c r="A15" s="5"/>
      <c r="B15" s="8"/>
      <c r="C15" s="9"/>
      <c r="D15" s="6"/>
    </row>
    <row r="16" spans="1:16">
      <c r="C16" s="9"/>
      <c r="D16" s="7"/>
    </row>
    <row r="17" spans="1:4" ht="15.75">
      <c r="A17" s="5"/>
      <c r="B17" s="8"/>
      <c r="D17" s="7"/>
    </row>
    <row r="18" spans="1:4" ht="15.75">
      <c r="A18" s="3"/>
      <c r="C18" s="9"/>
      <c r="D18" s="7"/>
    </row>
    <row r="19" spans="1:4">
      <c r="B19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ColWidth="9" defaultRowHeight="15"/>
  <cols>
    <col min="1" max="1" width="15" customWidth="1"/>
    <col min="2" max="2" width="80" customWidth="1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  <row r="7" spans="1:2">
      <c r="A7" t="s">
        <v>20</v>
      </c>
      <c r="B7" t="s">
        <v>21</v>
      </c>
    </row>
    <row r="8" spans="1:2">
      <c r="A8" t="s">
        <v>22</v>
      </c>
      <c r="B8" t="s">
        <v>23</v>
      </c>
    </row>
    <row r="9" spans="1:2">
      <c r="A9" t="s">
        <v>24</v>
      </c>
      <c r="B9" t="s">
        <v>25</v>
      </c>
    </row>
    <row r="10" spans="1:2">
      <c r="A10" t="s">
        <v>26</v>
      </c>
      <c r="B10" t="s">
        <v>27</v>
      </c>
    </row>
    <row r="11" spans="1:2">
      <c r="A11" t="s">
        <v>28</v>
      </c>
      <c r="B11" t="s">
        <v>29</v>
      </c>
    </row>
    <row r="12" spans="1:2">
      <c r="A12" t="s">
        <v>30</v>
      </c>
      <c r="B12" t="s">
        <v>31</v>
      </c>
    </row>
    <row r="13" spans="1:2">
      <c r="A13" t="s">
        <v>32</v>
      </c>
      <c r="B13" t="s">
        <v>33</v>
      </c>
    </row>
    <row r="14" spans="1:2">
      <c r="A14" t="s">
        <v>34</v>
      </c>
      <c r="B14" t="s">
        <v>35</v>
      </c>
    </row>
    <row r="15" spans="1:2">
      <c r="A15" t="s">
        <v>36</v>
      </c>
      <c r="B15" t="s">
        <v>37</v>
      </c>
    </row>
    <row r="16" spans="1:2">
      <c r="A16" t="s">
        <v>38</v>
      </c>
      <c r="B16" t="s">
        <v>39</v>
      </c>
    </row>
    <row r="17" spans="1:2">
      <c r="A17" t="s">
        <v>40</v>
      </c>
      <c r="B17" t="s">
        <v>41</v>
      </c>
    </row>
    <row r="18" spans="1:2">
      <c r="A18" t="s">
        <v>42</v>
      </c>
      <c r="B18" t="s">
        <v>43</v>
      </c>
    </row>
    <row r="19" spans="1:2">
      <c r="A19" t="s">
        <v>44</v>
      </c>
      <c r="B19" t="s">
        <v>45</v>
      </c>
    </row>
    <row r="20" spans="1:2">
      <c r="A20" t="s">
        <v>46</v>
      </c>
      <c r="B20" t="s">
        <v>47</v>
      </c>
    </row>
    <row r="21" spans="1:2">
      <c r="A21" t="s">
        <v>48</v>
      </c>
      <c r="B21" t="s">
        <v>49</v>
      </c>
    </row>
    <row r="22" spans="1:2">
      <c r="A22" t="s">
        <v>50</v>
      </c>
      <c r="B22" t="s">
        <v>51</v>
      </c>
    </row>
    <row r="23" spans="1:2">
      <c r="A23" t="s">
        <v>52</v>
      </c>
      <c r="B23" t="s">
        <v>53</v>
      </c>
    </row>
    <row r="24" spans="1:2">
      <c r="A24" t="s">
        <v>54</v>
      </c>
      <c r="B24" t="s">
        <v>55</v>
      </c>
    </row>
    <row r="25" spans="1:2">
      <c r="A25" t="s">
        <v>56</v>
      </c>
      <c r="B25" t="s">
        <v>57</v>
      </c>
    </row>
    <row r="26" spans="1:2">
      <c r="A26" t="s">
        <v>58</v>
      </c>
      <c r="B26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ColWidth="9" defaultRowHeight="15"/>
  <cols>
    <col min="1" max="5" width="22" customWidth="1"/>
  </cols>
  <sheetData>
    <row r="1" spans="1:5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>
        <v>1</v>
      </c>
      <c r="B2" t="s">
        <v>64</v>
      </c>
      <c r="C2" t="s">
        <v>64</v>
      </c>
      <c r="D2" t="s">
        <v>64</v>
      </c>
      <c r="E2" t="s">
        <v>64</v>
      </c>
    </row>
    <row r="3" spans="1:5">
      <c r="A3">
        <v>2</v>
      </c>
      <c r="B3" t="s">
        <v>64</v>
      </c>
      <c r="C3" t="s">
        <v>64</v>
      </c>
      <c r="D3" t="s">
        <v>64</v>
      </c>
      <c r="E3" t="s">
        <v>64</v>
      </c>
    </row>
    <row r="4" spans="1:5">
      <c r="A4">
        <v>3</v>
      </c>
      <c r="B4" t="s">
        <v>64</v>
      </c>
      <c r="C4" t="s">
        <v>64</v>
      </c>
      <c r="D4" t="s">
        <v>64</v>
      </c>
      <c r="E4" t="s">
        <v>64</v>
      </c>
    </row>
    <row r="5" spans="1:5">
      <c r="A5">
        <v>4</v>
      </c>
      <c r="B5" t="s">
        <v>64</v>
      </c>
      <c r="C5" t="s">
        <v>64</v>
      </c>
      <c r="D5" t="s">
        <v>64</v>
      </c>
      <c r="E5" t="s">
        <v>64</v>
      </c>
    </row>
    <row r="6" spans="1:5">
      <c r="A6">
        <v>5</v>
      </c>
      <c r="B6" t="s">
        <v>64</v>
      </c>
      <c r="C6" t="s">
        <v>64</v>
      </c>
      <c r="D6" t="s">
        <v>64</v>
      </c>
      <c r="E6" t="s">
        <v>64</v>
      </c>
    </row>
    <row r="7" spans="1:5">
      <c r="A7">
        <v>6</v>
      </c>
      <c r="B7" t="s">
        <v>64</v>
      </c>
      <c r="C7" t="s">
        <v>64</v>
      </c>
      <c r="D7" t="s">
        <v>64</v>
      </c>
      <c r="E7" t="s">
        <v>64</v>
      </c>
    </row>
    <row r="8" spans="1:5">
      <c r="A8">
        <v>7</v>
      </c>
      <c r="B8" t="s">
        <v>64</v>
      </c>
      <c r="C8" t="s">
        <v>64</v>
      </c>
      <c r="D8" t="s">
        <v>64</v>
      </c>
      <c r="E8" t="s">
        <v>64</v>
      </c>
    </row>
    <row r="9" spans="1:5">
      <c r="A9">
        <v>8</v>
      </c>
      <c r="B9" t="s">
        <v>64</v>
      </c>
      <c r="C9" t="s">
        <v>64</v>
      </c>
      <c r="D9" t="s">
        <v>64</v>
      </c>
      <c r="E9" t="s">
        <v>64</v>
      </c>
    </row>
    <row r="10" spans="1:5">
      <c r="A10">
        <v>9</v>
      </c>
      <c r="B10" t="s">
        <v>64</v>
      </c>
      <c r="C10" t="s">
        <v>64</v>
      </c>
      <c r="D10" t="s">
        <v>64</v>
      </c>
      <c r="E10" t="s">
        <v>64</v>
      </c>
    </row>
    <row r="11" spans="1:5">
      <c r="A11">
        <v>10</v>
      </c>
      <c r="B11" t="s">
        <v>64</v>
      </c>
      <c r="C11" t="s">
        <v>64</v>
      </c>
      <c r="D11" t="s">
        <v>64</v>
      </c>
      <c r="E11" t="s">
        <v>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D6E875-F8D5-462F-A82D-8D18DE25D0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Pump Test Data</vt:lpstr>
      <vt:lpstr>Practice Questions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Shahibul Hasan Siam</cp:lastModifiedBy>
  <dcterms:created xsi:type="dcterms:W3CDTF">2026-10-01T04:01:00Z</dcterms:created>
  <dcterms:modified xsi:type="dcterms:W3CDTF">2026-10-13T06:44:11Z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8A34658D12F140B8A80CD4D583C3898B_12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